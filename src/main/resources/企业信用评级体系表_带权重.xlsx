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企业信用评级打分表" sheetId="2" r:id="rId5"/>
    <sheet name="评级结果汇总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<sst xmlns="http://schemas.openxmlformats.org/spreadsheetml/2006/main" count="67" uniqueCount="67">
  <si>
    <t xml:space="preserve">  </t>
  </si>
  <si>
    <t xml:space="preserve">企业信用评级打分表（满分100分）</t>
  </si>
  <si>
    <t xml:space="preserve">维度</t>
  </si>
  <si>
    <t xml:space="preserve">评级指标</t>
  </si>
  <si>
    <t xml:space="preserve">标准分值</t>
  </si>
  <si>
    <t xml:space="preserve">评分规则</t>
  </si>
  <si>
    <t xml:space="preserve">打分</t>
  </si>
  <si>
    <t xml:space="preserve">实际得分</t>
  </si>
  <si>
    <t xml:space="preserve">维度权重(%)</t>
  </si>
  <si>
    <t xml:space="preserve">指标权重(%)</t>
  </si>
  <si>
    <t xml:space="preserve">标准化得分(0-100)</t>
  </si>
  <si>
    <t xml:space="preserve">加权得分</t>
  </si>
  <si>
    <t xml:space="preserve">1. 企业基本资质</t>
  </si>
  <si>
    <t xml:space="preserve">1.1 注册资本与实缴资本</t>
  </si>
  <si>
    <t xml:space="preserve">实缴资本≥注册资本100%：8分；实缴资本≥50%且&lt;100%：5分；实缴资本≥20%且&lt;50%：3分；实缴资本&lt;20%：0分</t>
  </si>
  <si>
    <t xml:space="preserve">1.2 企业成立年限</t>
  </si>
  <si>
    <t xml:space="preserve">成立≥10年：6分；成立≥5年且&lt;10年：4分；成立≥3年且&lt;5年：2分；成立&lt;3年：0分</t>
  </si>
  <si>
    <t xml:space="preserve">1.3 资质认证</t>
  </si>
  <si>
    <t xml:space="preserve">具备行业甲级/一级资质/高新技术企业认证：6分；具备行业乙级/二级资质：3分；无相关资质：0分</t>
  </si>
  <si>
    <t xml:space="preserve">2. 财务健康状况</t>
  </si>
  <si>
    <t xml:space="preserve">2.1 偿债能力（资产负债率）</t>
  </si>
  <si>
    <t xml:space="preserve">资产负债率≤50%：12分；50%&lt;资产负债率≤70%：8分；70%&lt;资产负债率≤90%：4分；资产负债率&gt;90%：0分</t>
  </si>
  <si>
    <t xml:space="preserve">2.2 盈利能力</t>
  </si>
  <si>
    <t xml:space="preserve">近2年连续盈利，净利润增长率≥10%：10分；近2年连续盈利，增长率&lt;10%：6分；近1年盈利1年亏损：3分；近2年连续亏损：0分</t>
  </si>
  <si>
    <t xml:space="preserve">2.3 运营能力（营业周期）</t>
  </si>
  <si>
    <t xml:space="preserve">营业周期≤行业平均水平：8分；行业平均&lt;营业周期≤1.5倍行业平均：4分；营业周期&gt;1.5倍行业平均：0分</t>
  </si>
  <si>
    <t xml:space="preserve">3. 履约信用记录</t>
  </si>
  <si>
    <t xml:space="preserve">3.1 合同履约率</t>
  </si>
  <si>
    <t xml:space="preserve">近1年合同履约率100%：10分；95%≤履约率&lt;100%：6分；80%≤履约率&lt;95%：3分；履约率&lt;80%：0分</t>
  </si>
  <si>
    <t xml:space="preserve">3.2 金融信用记录</t>
  </si>
  <si>
    <t xml:space="preserve">近2年无逾期还款记录：10分；1次轻微逾期（已结清）：6分；2次及以上逾期：3分；未结清逾期/不良贷款：0分</t>
  </si>
  <si>
    <t xml:space="preserve">3.3 失信与行政处罚</t>
  </si>
  <si>
    <t xml:space="preserve">近3年无失信/重大行政处罚：5分；1次一般行政处罚：2分；有失信/重大行政处罚：0分</t>
  </si>
  <si>
    <t xml:space="preserve">4. 经营管理能力</t>
  </si>
  <si>
    <t xml:space="preserve">4.1 营收稳定性</t>
  </si>
  <si>
    <t xml:space="preserve">近3年营收复合增长率≥15%：8分；5%≤增长率&lt;15%：5分；0%≤增长率&lt;5%：2分；负增长：0分</t>
  </si>
  <si>
    <t xml:space="preserve">4.2 团队与管理稳定性</t>
  </si>
  <si>
    <t xml:space="preserve">核心团队3年无重大变动，流失率≤行业平均：7分；1次团队变动，流失率略高：4分；团队频繁变动，流失率远高：0分</t>
  </si>
  <si>
    <t xml:space="preserve">5. 合规与风险防控</t>
  </si>
  <si>
    <t xml:space="preserve">5.1 税务与社保合规</t>
  </si>
  <si>
    <t xml:space="preserve">近3年无税务违章，社保合规：5分；1次轻微违章（已整改）：2分；重大违章/违规：0分</t>
  </si>
  <si>
    <t xml:space="preserve">5.2 风险管理制度</t>
  </si>
  <si>
    <t xml:space="preserve">完善的内控与风险管理制度且有效执行：5分；基本制度，执行一般：3分；无制度：0分</t>
  </si>
  <si>
    <t xml:space="preserve">总分合计</t>
  </si>
  <si>
    <t xml:space="preserve">加权总分</t>
  </si>
  <si>
    <t xml:space="preserve">企业信用评级结果汇总表</t>
  </si>
  <si>
    <t xml:space="preserve">企业基本信息</t>
  </si>
  <si>
    <t xml:space="preserve">企业名称</t>
  </si>
  <si>
    <t xml:space="preserve">统一社会信用代码</t>
  </si>
  <si>
    <t xml:space="preserve">成立日期</t>
  </si>
  <si>
    <t xml:space="preserve">注册资本</t>
  </si>
  <si>
    <t xml:space="preserve">所属行业</t>
  </si>
  <si>
    <t xml:space="preserve">评级结果</t>
  </si>
  <si>
    <t xml:space="preserve">加权评级总分</t>
  </si>
  <si>
    <t xml:space="preserve">评级总分</t>
  </si>
  <si>
    <t xml:space="preserve">信用等级</t>
  </si>
  <si>
    <t xml:space="preserve">评级说明</t>
  </si>
  <si>
    <t xml:space="preserve">五大维度得分明细</t>
  </si>
  <si>
    <t xml:space="preserve">维度</t>
  </si>
  <si>
    <t xml:space="preserve">标准分值</t>
  </si>
  <si>
    <t xml:space="preserve">实际得分</t>
  </si>
  <si>
    <t xml:space="preserve">企业基本资质</t>
  </si>
  <si>
    <t xml:space="preserve">财务健康状况</t>
  </si>
  <si>
    <t xml:space="preserve">履约信用记录</t>
  </si>
  <si>
    <t xml:space="preserve">经营管理能力</t>
  </si>
  <si>
    <t xml:space="preserve">合规与风险防控</t>
  </si>
  <si>
    <t xml:space="preserve">维度合计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</si>
</sst>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"/>
    <numFmt numFmtId="165" formatCode="0%"/>
    <numFmt numFmtId="166" formatCode="0.00%"/>
    <numFmt numFmtId="167" formatCode="0.00"/>
    <numFmt numFmtId="168" formatCode="0.00"/>
    <numFmt numFmtId="169" formatCode="0"/>
    <numFmt numFmtId="170" formatCode="@"/>
  </numFmts>
  <fonts count="6">
    <font>
      <sz val="11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b val="true"/>
      <sz val="11"/>
      <color rgb="FF333333"/>
      <name val="微软雅黑"/>
      <family val="2"/>
    </font>
    <font>
      <sz val="10"/>
      <color rgb="FF333333"/>
      <name val="微软雅黑"/>
      <family val="2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D9E1F2"/>
        <bgColor/>
      </patternFill>
    </fill>
    <fill>
      <patternFill patternType="solid">
        <fgColor rgb="FFEBF1F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0" fillId="4" fontId="3" numFmtId="0" xfId="0">
      <alignment horizontal="center" vertical="center"/>
    </xf>
    <xf applyAlignment="true" applyBorder="false" applyFill="true" applyFont="true" applyNumberFormat="false" applyProtection="false" borderId="1" fillId="5" fontId="4" numFmtId="0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right" vertical="center"/>
    </xf>
    <xf applyAlignment="true" applyBorder="false" applyFill="false" applyFont="true" applyNumberFormat="true" applyProtection="false" borderId="2" fillId="0" fontId="5" numFmtId="164" xfId="0">
      <alignment horizontal="right" vertical="center"/>
    </xf>
    <xf applyAlignment="true" applyBorder="false" applyFill="false" applyFont="true" applyNumberFormat="true" applyProtection="false" borderId="0" fillId="0" fontId="5" numFmtId="165" xfId="0">
      <alignment horizontal="right" vertical="center"/>
    </xf>
    <xf applyAlignment="true" applyBorder="false" applyFill="false" applyFont="true" applyNumberFormat="true" applyProtection="false" borderId="0" fillId="0" fontId="5" numFmtId="166" xfId="0">
      <alignment horizontal="right" vertical="center"/>
    </xf>
    <xf applyAlignment="true" applyBorder="false" applyFill="false" applyFont="true" applyNumberFormat="true" applyProtection="false" borderId="0" fillId="0" fontId="5" numFmtId="167" xfId="0">
      <alignment horizontal="righ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2" fillId="6" fontId="5" numFmtId="0" xfId="0">
      <alignment horizontal="left" vertical="center"/>
    </xf>
    <xf applyAlignment="true" applyBorder="false" applyFill="true" applyFont="true" applyNumberFormat="false" applyProtection="false" borderId="2" fillId="6" fontId="5" numFmtId="0" xfId="0">
      <alignment horizontal="right" vertical="center"/>
    </xf>
    <xf applyAlignment="true" applyBorder="false" applyFill="true" applyFont="true" applyNumberFormat="true" applyProtection="false" borderId="2" fillId="6" fontId="5" numFmtId="164" xfId="0">
      <alignment horizontal="right" vertical="center"/>
    </xf>
    <xf applyAlignment="true" applyBorder="false" applyFill="false" applyFont="true" applyNumberFormat="false" applyProtection="false" borderId="1" fillId="0" fontId="2" numFmtId="0" xfId="0">
      <alignment horizontal="left" vertical="center"/>
    </xf>
    <xf applyAlignment="true" applyBorder="false" applyFill="true" applyFont="true" applyNumberFormat="false" applyProtection="false" borderId="1" fillId="7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true" applyFont="true" applyNumberFormat="true" applyProtection="false" borderId="2" fillId="7" fontId="4" numFmtId="164" xfId="0">
      <alignment horizontal="center" vertical="center" wrapText="true"/>
    </xf>
    <xf applyAlignment="true" applyBorder="false" applyFill="true" applyFont="true" applyNumberFormat="false" applyProtection="false" borderId="0" fillId="8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9" fontId="1" numFmtId="0" xfId="0">
      <alignment horizontal="center" vertical="center" wrapText="true"/>
    </xf>
    <xf applyAlignment="true" applyBorder="false" applyFill="true" applyFont="true" applyNumberFormat="false" applyProtection="false" borderId="0" fillId="10" fontId="4" numFmtId="0" xfId="0">
      <alignment horizontal="center" vertical="center" wrapText="true"/>
    </xf>
    <xf applyAlignment="true" applyBorder="false" applyFill="true" applyFont="true" applyNumberFormat="false" applyProtection="false" borderId="3" fillId="11" fontId="5" numFmtId="0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68" xfId="0">
      <alignment vertical="bottom"/>
    </xf>
    <xf applyAlignment="true" applyBorder="false" applyFill="false" applyFont="true" applyNumberFormat="true" applyProtection="false" borderId="3" fillId="0" fontId="5" numFmtId="169" xfId="0">
      <alignment horizontal="center" vertical="center" wrapText="true"/>
    </xf>
    <xf applyAlignment="true" applyBorder="false" applyFill="false" applyFont="true" applyNumberFormat="true" applyProtection="false" borderId="3" fillId="0" fontId="5" numFmtId="170" xfId="0">
      <alignment horizontal="center" vertical="center" wrapText="true"/>
    </xf>
    <xf applyAlignment="true" applyBorder="false" applyFill="true" applyFont="true" applyNumberFormat="false" applyProtection="false" borderId="0" fillId="12" fontId="3" numFmtId="0" xfId="0">
      <alignment horizontal="center" vertical="center" wrapText="true"/>
    </xf>
    <xf applyAlignment="true" applyBorder="false" applyFill="true" applyFont="true" applyNumberFormat="false" applyProtection="false" borderId="3" fillId="11" fontId="5" numFmtId="0" xfId="0">
      <alignment horizontal="left" vertical="center" wrapText="true"/>
    </xf>
    <xf applyAlignment="true" applyBorder="false" applyFill="true" applyFont="true" applyNumberFormat="true" applyProtection="false" borderId="3" fillId="11" fontId="5" numFmtId="169" xfId="0">
      <alignment horizontal="center" vertical="center" wrapText="true"/>
    </xf>
    <xf applyAlignment="true" applyBorder="false" applyFill="false" applyFont="true" applyNumberFormat="false" applyProtection="false" borderId="3" fillId="0" fontId="5" numFmtId="0" xfId="0">
      <alignment horizontal="center" vertical="center" wrapText="true"/>
    </xf>
    <xf applyAlignment="true" applyBorder="false" applyFill="true" applyFont="true" applyNumberFormat="false" applyProtection="false" borderId="3" fillId="13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true" applyFont="true" applyNumberFormat="true" applyProtection="false" borderId="3" fillId="13" fontId="4" numFmtId="169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LzrQG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3" name="Picture 3" descr="qSyWE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juLrN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3" name="Picture 3" descr="eeAnbX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8" defaultRowHeight="16"/>
  <cols>
    <col collapsed="false" customWidth="true" hidden="false" max="10" min="10" style="0" width="29"/>
    <col collapsed="false" customWidth="true" hidden="false" max="2" min="2" style="0" width="31"/>
    <col collapsed="false" customWidth="true" hidden="false" max="4" min="4" style="0" width="50"/>
    <col collapsed="false" customWidth="true" hidden="false" max="6" min="6" style="0" width="18"/>
    <col collapsed="false" customWidth="true" hidden="false" max="8" min="8" style="0" width="15"/>
    <col collapsed="false" customWidth="true" hidden="false" max="9" min="9" style="0" width="31"/>
    <col collapsed="false" customWidth="true" hidden="false" max="1" min="1" style="0" width="37"/>
    <col collapsed="false" customWidth="true" hidden="false" max="3" min="3" style="0" width="11"/>
    <col collapsed="false" customWidth="true" hidden="false" max="5" min="5" style="0" width="8"/>
    <col collapsed="false" customWidth="true" hidden="false" max="7" min="7" style="0" width="15"/>
  </cols>
  <sheetData>
    <row customHeight="true" ht="40" r="1">
      <c r="A1" s="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customHeight="true" ht="30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1"/>
      <c r="L2" s="21"/>
      <c r="M2" s="21"/>
      <c r="N2" s="21"/>
      <c r="O2" s="21"/>
      <c r="P2" s="21"/>
      <c r="Q2" s="21"/>
      <c r="R2" s="21"/>
      <c r="S2" s="21"/>
      <c r="T2" s="21"/>
    </row>
    <row customHeight="true" ht="30" r="3">
      <c r="A3" s="4" t="s">
        <v>12</v>
      </c>
      <c r="B3" s="5" t="s">
        <v>13</v>
      </c>
      <c r="C3" s="6">
        <v>8</v>
      </c>
      <c r="D3" s="6" t="s">
        <v>14</v>
      </c>
      <c r="E3" s="6"/>
      <c r="F3" s="7">
        <f>MIN(E3, C3)</f>
      </c>
      <c r="G3" s="8">
        <v>0.2</v>
      </c>
      <c r="H3" s="9">
        <v>0.4</v>
      </c>
      <c r="I3" s="10">
        <f>IFERROR((F3/C3)*100, 0)</f>
      </c>
      <c r="J3" s="10">
        <f>IFERROR(I3*G3*H3, 0)</f>
      </c>
      <c r="K3" s="21"/>
      <c r="L3" s="21"/>
      <c r="M3" s="21"/>
      <c r="N3" s="21"/>
      <c r="O3" s="21"/>
      <c r="P3" s="21"/>
      <c r="Q3" s="21"/>
      <c r="R3" s="21"/>
      <c r="S3" s="21"/>
      <c r="T3" s="21"/>
    </row>
    <row customHeight="true" ht="30" r="4">
      <c r="A4" s="11"/>
      <c r="B4" s="12" t="s">
        <v>15</v>
      </c>
      <c r="C4" s="13">
        <v>6</v>
      </c>
      <c r="D4" s="13" t="s">
        <v>16</v>
      </c>
      <c r="E4" s="13"/>
      <c r="F4" s="14">
        <f>MIN(E4, C4)</f>
      </c>
      <c r="G4" s="8">
        <v>0.2</v>
      </c>
      <c r="H4" s="9">
        <v>0.3</v>
      </c>
      <c r="I4" s="10">
        <f>IFERROR((F4/C4)*100, 0)</f>
      </c>
      <c r="J4" s="10">
        <f>IFERROR(I4*G4*H4, 0)</f>
      </c>
      <c r="K4" s="21"/>
      <c r="L4" s="21"/>
      <c r="M4" s="21"/>
      <c r="N4" s="21"/>
      <c r="O4" s="21"/>
      <c r="P4" s="21"/>
      <c r="Q4" s="21"/>
      <c r="R4" s="21"/>
      <c r="S4" s="21"/>
      <c r="T4" s="21"/>
    </row>
    <row customHeight="true" ht="30" r="5">
      <c r="A5" s="15"/>
      <c r="B5" s="5" t="s">
        <v>17</v>
      </c>
      <c r="C5" s="6">
        <v>6</v>
      </c>
      <c r="D5" s="6" t="s">
        <v>18</v>
      </c>
      <c r="E5" s="6"/>
      <c r="F5" s="7">
        <f>MIN(E5, C5)</f>
      </c>
      <c r="G5" s="8">
        <v>0.2</v>
      </c>
      <c r="H5" s="9">
        <v>0.3</v>
      </c>
      <c r="I5" s="10">
        <f>IFERROR((F5/C5)*100, 0)</f>
      </c>
      <c r="J5" s="10">
        <f>IFERROR(I5*G5*H5, 0)</f>
      </c>
      <c r="K5" s="21"/>
      <c r="L5" s="21"/>
      <c r="M5" s="21"/>
      <c r="N5" s="21"/>
      <c r="O5" s="21"/>
      <c r="P5" s="21"/>
      <c r="Q5" s="21"/>
      <c r="R5" s="21"/>
      <c r="S5" s="21"/>
      <c r="T5" s="21"/>
    </row>
    <row customHeight="true" ht="30" r="6">
      <c r="A6" s="4" t="s">
        <v>19</v>
      </c>
      <c r="B6" s="5" t="s">
        <v>20</v>
      </c>
      <c r="C6" s="6">
        <v>12</v>
      </c>
      <c r="D6" s="6" t="s">
        <v>21</v>
      </c>
      <c r="E6" s="6"/>
      <c r="F6" s="7">
        <f>MIN(E6, C6)</f>
      </c>
      <c r="G6" s="8">
        <v>0.3</v>
      </c>
      <c r="H6" s="9">
        <v>0.4</v>
      </c>
      <c r="I6" s="10">
        <f>IFERROR((F6/C6)*100, 0)</f>
      </c>
      <c r="J6" s="10">
        <f>IFERROR(I6*G6*H6, 0)</f>
      </c>
      <c r="K6" s="21"/>
      <c r="L6" s="21"/>
      <c r="M6" s="21"/>
      <c r="N6" s="21"/>
      <c r="O6" s="21"/>
      <c r="P6" s="21"/>
      <c r="Q6" s="21"/>
      <c r="R6" s="21"/>
      <c r="S6" s="21"/>
      <c r="T6" s="21"/>
    </row>
    <row customHeight="true" ht="30" r="7">
      <c r="A7" s="11"/>
      <c r="B7" s="5" t="s">
        <v>22</v>
      </c>
      <c r="C7" s="6">
        <v>10</v>
      </c>
      <c r="D7" s="6" t="s">
        <v>23</v>
      </c>
      <c r="E7" s="6"/>
      <c r="F7" s="7">
        <f>MIN(E7, C7)</f>
      </c>
      <c r="G7" s="8">
        <v>0.3</v>
      </c>
      <c r="H7" s="9">
        <v>0.3333</v>
      </c>
      <c r="I7" s="10">
        <f>IFERROR((F7/C7)*100, 0)</f>
      </c>
      <c r="J7" s="10">
        <f>IFERROR(I7*G7*H7, 0)</f>
      </c>
      <c r="K7" s="21"/>
      <c r="L7" s="21"/>
      <c r="M7" s="21"/>
      <c r="N7" s="21"/>
      <c r="O7" s="21"/>
      <c r="P7" s="21"/>
      <c r="Q7" s="21"/>
      <c r="R7" s="21"/>
      <c r="S7" s="21"/>
      <c r="T7" s="21"/>
    </row>
    <row customHeight="true" ht="30" r="8">
      <c r="A8" s="15"/>
      <c r="B8" s="12" t="s">
        <v>24</v>
      </c>
      <c r="C8" s="13">
        <v>8</v>
      </c>
      <c r="D8" s="13" t="s">
        <v>25</v>
      </c>
      <c r="E8" s="13"/>
      <c r="F8" s="14">
        <f>MIN(E8, C8)</f>
      </c>
      <c r="G8" s="8">
        <v>0.3</v>
      </c>
      <c r="H8" s="9">
        <v>0.2667</v>
      </c>
      <c r="I8" s="10">
        <f>IFERROR((F8/C8)*100, 0)</f>
      </c>
      <c r="J8" s="10">
        <f>IFERROR(I8*G8*H8, 0)</f>
      </c>
      <c r="K8" s="21"/>
      <c r="L8" s="21"/>
      <c r="M8" s="21"/>
      <c r="N8" s="21"/>
      <c r="O8" s="21"/>
      <c r="P8" s="21"/>
      <c r="Q8" s="21"/>
      <c r="R8" s="21"/>
      <c r="S8" s="21"/>
      <c r="T8" s="21"/>
    </row>
    <row customHeight="true" ht="30" r="9">
      <c r="A9" s="4" t="s">
        <v>26</v>
      </c>
      <c r="B9" s="5" t="s">
        <v>27</v>
      </c>
      <c r="C9" s="6">
        <v>10</v>
      </c>
      <c r="D9" s="6" t="s">
        <v>28</v>
      </c>
      <c r="E9" s="6"/>
      <c r="F9" s="7">
        <f>MIN(E9, C9)</f>
      </c>
      <c r="G9" s="8">
        <v>0.25</v>
      </c>
      <c r="H9" s="9">
        <v>0.4</v>
      </c>
      <c r="I9" s="10">
        <f>IFERROR((F9/C9)*100, 0)</f>
      </c>
      <c r="J9" s="10">
        <f>IFERROR(I9*G9*H9, 0)</f>
      </c>
      <c r="K9" s="21"/>
      <c r="L9" s="21"/>
      <c r="M9" s="21"/>
      <c r="N9" s="21"/>
      <c r="O9" s="21"/>
      <c r="P9" s="21"/>
      <c r="Q9" s="21"/>
      <c r="R9" s="21"/>
      <c r="S9" s="21"/>
      <c r="T9" s="21"/>
    </row>
    <row customHeight="true" ht="30" r="10">
      <c r="A10" s="11"/>
      <c r="B10" s="12" t="s">
        <v>29</v>
      </c>
      <c r="C10" s="13">
        <v>10</v>
      </c>
      <c r="D10" s="13" t="s">
        <v>30</v>
      </c>
      <c r="E10" s="13"/>
      <c r="F10" s="14">
        <f>MIN(E10, C10)</f>
      </c>
      <c r="G10" s="8">
        <v>0.25</v>
      </c>
      <c r="H10" s="9">
        <v>0.4</v>
      </c>
      <c r="I10" s="10">
        <f>IFERROR((F10/C10)*100, 0)</f>
      </c>
      <c r="J10" s="10">
        <f>IFERROR(I10*G10*H10, 0)</f>
      </c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customHeight="true" ht="30" r="11">
      <c r="A11" s="15"/>
      <c r="B11" s="5" t="s">
        <v>31</v>
      </c>
      <c r="C11" s="6">
        <v>5</v>
      </c>
      <c r="D11" s="6" t="s">
        <v>32</v>
      </c>
      <c r="E11" s="6"/>
      <c r="F11" s="7">
        <f>MIN(E11, C11)</f>
      </c>
      <c r="G11" s="8">
        <v>0.25</v>
      </c>
      <c r="H11" s="9">
        <v>0.2</v>
      </c>
      <c r="I11" s="10">
        <f>IFERROR((F11/C11)*100, 0)</f>
      </c>
      <c r="J11" s="10">
        <f>IFERROR(I11*G11*H11, 0)</f>
      </c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customHeight="true" ht="30" r="12">
      <c r="A12" s="4" t="s">
        <v>33</v>
      </c>
      <c r="B12" s="5" t="s">
        <v>34</v>
      </c>
      <c r="C12" s="6">
        <v>8</v>
      </c>
      <c r="D12" s="6" t="s">
        <v>35</v>
      </c>
      <c r="E12" s="6"/>
      <c r="F12" s="7">
        <f>MIN(E12, C12)</f>
      </c>
      <c r="G12" s="8">
        <v>0.15</v>
      </c>
      <c r="H12" s="9">
        <v>0.5333</v>
      </c>
      <c r="I12" s="10">
        <f>IFERROR((F12/C12)*100, 0)</f>
      </c>
      <c r="J12" s="10">
        <f>IFERROR(I12*G12*H12, 0)</f>
      </c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customHeight="true" ht="30" r="13">
      <c r="A13" s="15"/>
      <c r="B13" s="5" t="s">
        <v>36</v>
      </c>
      <c r="C13" s="6">
        <v>7</v>
      </c>
      <c r="D13" s="6" t="s">
        <v>37</v>
      </c>
      <c r="E13" s="6"/>
      <c r="F13" s="7">
        <f>MIN(E13, C13)</f>
      </c>
      <c r="G13" s="8">
        <v>0.15</v>
      </c>
      <c r="H13" s="9">
        <v>0.4667</v>
      </c>
      <c r="I13" s="10">
        <f>IFERROR((F13/C13)*100, 0)</f>
      </c>
      <c r="J13" s="10">
        <f>IFERROR(I13*G13*H13, 0)</f>
      </c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customHeight="true" ht="30" r="14">
      <c r="A14" s="4" t="s">
        <v>38</v>
      </c>
      <c r="B14" s="5" t="s">
        <v>39</v>
      </c>
      <c r="C14" s="6">
        <v>5</v>
      </c>
      <c r="D14" s="6" t="s">
        <v>40</v>
      </c>
      <c r="E14" s="6"/>
      <c r="F14" s="7">
        <f>MIN(E14, C14)</f>
      </c>
      <c r="G14" s="8">
        <v>0.1</v>
      </c>
      <c r="H14" s="9">
        <v>0.5</v>
      </c>
      <c r="I14" s="10">
        <f>IFERROR((F14/C14)*100, 0)</f>
      </c>
      <c r="J14" s="10">
        <f>IFERROR(I14*G14*H14, 0)</f>
      </c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customHeight="true" ht="30" r="15">
      <c r="A15" s="15"/>
      <c r="B15" s="5" t="s">
        <v>41</v>
      </c>
      <c r="C15" s="6">
        <v>5</v>
      </c>
      <c r="D15" s="6" t="s">
        <v>42</v>
      </c>
      <c r="E15" s="6"/>
      <c r="F15" s="7">
        <f>MIN(E15, C15)</f>
      </c>
      <c r="G15" s="8">
        <v>0.1</v>
      </c>
      <c r="H15" s="9">
        <v>0.5</v>
      </c>
      <c r="I15" s="10">
        <f>IFERROR((F15/C15)*100, 0)</f>
      </c>
      <c r="J15" s="10">
        <f>IFERROR(I15*G15*H15, 0)</f>
      </c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customHeight="true" ht="30" r="16">
      <c r="A16" s="16" t="s">
        <v>43</v>
      </c>
      <c r="B16" s="17"/>
      <c r="C16" s="17"/>
      <c r="D16" s="17"/>
      <c r="E16" s="18"/>
      <c r="F16" s="19">
        <f>SUM(F3:F15)</f>
      </c>
      <c r="G16" s="21"/>
      <c r="H16" s="21"/>
      <c r="I16" s="20" t="s">
        <v>44</v>
      </c>
      <c r="J16" s="20">
        <f>SUM(J3:J15)</f>
      </c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>
      <c r="G17" s="21"/>
      <c r="H17" s="21"/>
      <c r="I17" s="21"/>
      <c r="J17" s="21"/>
    </row>
    <row r="18">
      <c r="G18" s="21"/>
      <c r="H18" s="21"/>
      <c r="I18" s="21"/>
      <c r="J18" s="21"/>
    </row>
    <row r="19">
      <c r="G19" s="21"/>
      <c r="H19" s="21"/>
      <c r="I19" s="21"/>
      <c r="J19" s="21"/>
    </row>
    <row r="20">
      <c r="G20" s="21"/>
      <c r="H20" s="21"/>
      <c r="I20" s="21"/>
      <c r="J20" s="21"/>
    </row>
    <row r="21">
      <c r="G21" s="21"/>
      <c r="H21" s="21"/>
      <c r="I21" s="21"/>
      <c r="J21" s="21"/>
    </row>
    <row r="22">
      <c r="G22" s="21"/>
      <c r="H22" s="21"/>
      <c r="I22" s="21"/>
      <c r="J22" s="21"/>
    </row>
    <row r="23">
      <c r="G23" s="21"/>
      <c r="H23" s="21"/>
      <c r="I23" s="21"/>
      <c r="J23" s="21"/>
    </row>
    <row r="24">
      <c r="G24" s="21"/>
      <c r="H24" s="21"/>
      <c r="I24" s="21"/>
      <c r="J24" s="21"/>
    </row>
    <row r="25">
      <c r="G25" s="21"/>
      <c r="H25" s="21"/>
      <c r="I25" s="21"/>
      <c r="J25" s="21"/>
    </row>
    <row r="26">
      <c r="G26" s="21"/>
      <c r="H26" s="21"/>
      <c r="I26" s="21"/>
      <c r="J26" s="21"/>
    </row>
    <row r="27">
      <c r="G27" s="21"/>
      <c r="H27" s="21"/>
      <c r="I27" s="21"/>
      <c r="J27" s="21"/>
    </row>
    <row r="28">
      <c r="G28" s="21"/>
      <c r="H28" s="21"/>
      <c r="I28" s="21"/>
      <c r="J28" s="21"/>
    </row>
    <row r="29">
      <c r="G29" s="21"/>
      <c r="H29" s="21"/>
      <c r="I29" s="21"/>
      <c r="J29" s="21"/>
    </row>
    <row r="30">
      <c r="G30" s="21"/>
      <c r="H30" s="21"/>
      <c r="I30" s="21"/>
      <c r="J30" s="21"/>
    </row>
    <row r="31">
      <c r="G31" s="21"/>
      <c r="H31" s="21"/>
      <c r="I31" s="21"/>
      <c r="J31" s="21"/>
    </row>
    <row r="32">
      <c r="G32" s="21"/>
      <c r="H32" s="21"/>
      <c r="I32" s="21"/>
      <c r="J32" s="21"/>
    </row>
    <row r="33">
      <c r="G33" s="21"/>
      <c r="H33" s="21"/>
      <c r="I33" s="21"/>
      <c r="J33" s="21"/>
    </row>
    <row r="34">
      <c r="G34" s="21"/>
      <c r="H34" s="21"/>
      <c r="I34" s="21"/>
      <c r="J34" s="21"/>
    </row>
    <row r="35">
      <c r="G35" s="21"/>
      <c r="H35" s="21"/>
      <c r="I35" s="21"/>
      <c r="J35" s="21"/>
    </row>
    <row r="36">
      <c r="G36" s="21"/>
      <c r="H36" s="21"/>
      <c r="I36" s="21"/>
      <c r="J36" s="21"/>
    </row>
    <row r="37">
      <c r="G37" s="21"/>
      <c r="H37" s="21"/>
      <c r="I37" s="21"/>
      <c r="J37" s="21"/>
    </row>
    <row r="38">
      <c r="G38" s="21"/>
      <c r="H38" s="21"/>
      <c r="I38" s="21"/>
      <c r="J38" s="21"/>
    </row>
    <row r="39">
      <c r="G39" s="21"/>
      <c r="H39" s="21"/>
      <c r="I39" s="21"/>
      <c r="J39" s="21"/>
    </row>
    <row r="40">
      <c r="G40" s="21"/>
      <c r="H40" s="21"/>
      <c r="I40" s="21"/>
      <c r="J40" s="21"/>
    </row>
    <row r="41">
      <c r="G41" s="21"/>
      <c r="H41" s="21"/>
      <c r="I41" s="21"/>
      <c r="J41" s="21"/>
    </row>
    <row r="42">
      <c r="G42" s="21"/>
      <c r="H42" s="21"/>
      <c r="I42" s="21"/>
      <c r="J42" s="21"/>
    </row>
    <row r="43">
      <c r="G43" s="21"/>
      <c r="H43" s="21"/>
      <c r="I43" s="21"/>
      <c r="J43" s="21"/>
    </row>
    <row r="44">
      <c r="G44" s="21"/>
      <c r="H44" s="21"/>
      <c r="I44" s="21"/>
      <c r="J44" s="21"/>
    </row>
    <row r="45">
      <c r="G45" s="21"/>
      <c r="H45" s="21"/>
      <c r="I45" s="21"/>
      <c r="J45" s="21"/>
    </row>
    <row r="46">
      <c r="G46" s="21"/>
      <c r="H46" s="21"/>
      <c r="I46" s="21"/>
      <c r="J46" s="21"/>
    </row>
    <row r="47">
      <c r="G47" s="21"/>
      <c r="H47" s="21"/>
      <c r="I47" s="21"/>
      <c r="J47" s="21"/>
    </row>
    <row r="48">
      <c r="G48" s="21"/>
      <c r="H48" s="21"/>
      <c r="I48" s="21"/>
      <c r="J48" s="21"/>
    </row>
    <row r="49">
      <c r="G49" s="21"/>
      <c r="H49" s="21"/>
      <c r="I49" s="21"/>
      <c r="J49" s="21"/>
    </row>
    <row r="50">
      <c r="G50" s="21"/>
      <c r="H50" s="21"/>
      <c r="I50" s="21"/>
      <c r="J50" s="21"/>
    </row>
    <row r="51">
      <c r="G51" s="21"/>
      <c r="H51" s="21"/>
      <c r="I51" s="21"/>
      <c r="J51" s="21"/>
    </row>
    <row r="52">
      <c r="G52" s="21"/>
      <c r="H52" s="21"/>
      <c r="I52" s="21"/>
      <c r="J52" s="21"/>
    </row>
    <row r="53">
      <c r="G53" s="21"/>
      <c r="H53" s="21"/>
      <c r="I53" s="21"/>
      <c r="J53" s="21"/>
    </row>
    <row r="54">
      <c r="G54" s="21"/>
      <c r="H54" s="21"/>
      <c r="I54" s="21"/>
      <c r="J54" s="21"/>
    </row>
    <row r="55">
      <c r="G55" s="21"/>
      <c r="H55" s="21"/>
      <c r="I55" s="21"/>
      <c r="J55" s="21"/>
    </row>
    <row r="56">
      <c r="G56" s="21"/>
      <c r="H56" s="21"/>
      <c r="I56" s="21"/>
      <c r="J56" s="21"/>
    </row>
    <row r="57">
      <c r="G57" s="21"/>
      <c r="H57" s="21"/>
      <c r="I57" s="21"/>
      <c r="J57" s="21"/>
    </row>
    <row r="58">
      <c r="G58" s="21"/>
      <c r="H58" s="21"/>
      <c r="I58" s="21"/>
      <c r="J58" s="21"/>
    </row>
    <row r="59">
      <c r="G59" s="21"/>
      <c r="H59" s="21"/>
      <c r="I59" s="21"/>
      <c r="J59" s="21"/>
    </row>
    <row r="60">
      <c r="G60" s="21"/>
      <c r="H60" s="21"/>
      <c r="I60" s="21"/>
      <c r="J60" s="21"/>
    </row>
    <row r="61">
      <c r="G61" s="21"/>
      <c r="H61" s="21"/>
      <c r="I61" s="21"/>
      <c r="J61" s="21"/>
    </row>
    <row r="62">
      <c r="G62" s="21"/>
      <c r="H62" s="21"/>
      <c r="I62" s="21"/>
      <c r="J62" s="21"/>
    </row>
    <row r="63">
      <c r="G63" s="21"/>
      <c r="H63" s="21"/>
      <c r="I63" s="21"/>
      <c r="J63" s="21"/>
    </row>
    <row r="64">
      <c r="G64" s="21"/>
      <c r="H64" s="21"/>
      <c r="I64" s="21"/>
      <c r="J64" s="21"/>
    </row>
    <row r="65">
      <c r="G65" s="21"/>
      <c r="H65" s="21"/>
      <c r="I65" s="21"/>
      <c r="J65" s="21"/>
    </row>
    <row r="66">
      <c r="G66" s="21"/>
      <c r="H66" s="21"/>
      <c r="I66" s="21"/>
      <c r="J66" s="21"/>
    </row>
    <row r="67">
      <c r="G67" s="21"/>
      <c r="H67" s="21"/>
      <c r="I67" s="21"/>
      <c r="J67" s="21"/>
    </row>
    <row r="68">
      <c r="G68" s="21"/>
      <c r="H68" s="21"/>
      <c r="I68" s="21"/>
      <c r="J68" s="21"/>
    </row>
    <row r="69">
      <c r="G69" s="21"/>
      <c r="H69" s="21"/>
      <c r="I69" s="21"/>
      <c r="J69" s="21"/>
    </row>
    <row r="70">
      <c r="G70" s="21"/>
      <c r="H70" s="21"/>
      <c r="I70" s="21"/>
      <c r="J70" s="21"/>
    </row>
    <row r="71">
      <c r="G71" s="21"/>
      <c r="H71" s="21"/>
      <c r="I71" s="21"/>
      <c r="J71" s="21"/>
    </row>
    <row r="72">
      <c r="G72" s="21"/>
      <c r="H72" s="21"/>
      <c r="I72" s="21"/>
      <c r="J72" s="21"/>
    </row>
    <row r="73">
      <c r="G73" s="21"/>
      <c r="H73" s="21"/>
      <c r="I73" s="21"/>
      <c r="J73" s="21"/>
    </row>
    <row r="74">
      <c r="G74" s="21"/>
      <c r="H74" s="21"/>
      <c r="I74" s="21"/>
      <c r="J74" s="21"/>
    </row>
    <row r="75">
      <c r="G75" s="21"/>
      <c r="H75" s="21"/>
      <c r="I75" s="21"/>
      <c r="J75" s="21"/>
    </row>
    <row r="76">
      <c r="G76" s="21"/>
      <c r="H76" s="21"/>
      <c r="I76" s="21"/>
      <c r="J76" s="21"/>
    </row>
    <row r="77">
      <c r="G77" s="21"/>
      <c r="H77" s="21"/>
      <c r="I77" s="21"/>
      <c r="J77" s="21"/>
    </row>
    <row r="78">
      <c r="G78" s="21"/>
      <c r="H78" s="21"/>
      <c r="I78" s="21"/>
      <c r="J78" s="21"/>
    </row>
    <row r="79">
      <c r="G79" s="21"/>
      <c r="H79" s="21"/>
      <c r="I79" s="21"/>
      <c r="J79" s="21"/>
    </row>
    <row r="80">
      <c r="G80" s="21"/>
      <c r="H80" s="21"/>
      <c r="I80" s="21"/>
      <c r="J80" s="21"/>
    </row>
    <row r="81">
      <c r="G81" s="21"/>
      <c r="H81" s="21"/>
      <c r="I81" s="21"/>
      <c r="J81" s="21"/>
    </row>
    <row r="82">
      <c r="G82" s="21"/>
      <c r="H82" s="21"/>
      <c r="I82" s="21"/>
      <c r="J82" s="21"/>
    </row>
    <row r="83">
      <c r="G83" s="21"/>
      <c r="H83" s="21"/>
      <c r="I83" s="21"/>
      <c r="J83" s="21"/>
    </row>
    <row r="84">
      <c r="G84" s="21"/>
      <c r="H84" s="21"/>
      <c r="I84" s="21"/>
      <c r="J84" s="21"/>
    </row>
    <row r="85">
      <c r="G85" s="21"/>
      <c r="H85" s="21"/>
      <c r="I85" s="21"/>
      <c r="J85" s="21"/>
    </row>
    <row r="86">
      <c r="G86" s="21"/>
      <c r="H86" s="21"/>
      <c r="I86" s="21"/>
      <c r="J86" s="21"/>
    </row>
    <row r="87">
      <c r="G87" s="21"/>
      <c r="H87" s="21"/>
      <c r="I87" s="21"/>
      <c r="J87" s="21"/>
    </row>
    <row r="88">
      <c r="G88" s="21"/>
      <c r="H88" s="21"/>
      <c r="I88" s="21"/>
      <c r="J88" s="21"/>
    </row>
    <row r="89">
      <c r="G89" s="21"/>
      <c r="H89" s="21"/>
      <c r="I89" s="21"/>
      <c r="J89" s="21"/>
    </row>
    <row r="90">
      <c r="G90" s="21"/>
      <c r="H90" s="21"/>
      <c r="I90" s="21"/>
      <c r="J90" s="21"/>
    </row>
    <row r="91">
      <c r="G91" s="21"/>
      <c r="H91" s="21"/>
      <c r="I91" s="21"/>
      <c r="J91" s="21"/>
    </row>
    <row r="92">
      <c r="G92" s="21"/>
      <c r="H92" s="21"/>
      <c r="I92" s="21"/>
      <c r="J92" s="21"/>
    </row>
    <row r="93">
      <c r="G93" s="21"/>
      <c r="H93" s="21"/>
      <c r="I93" s="21"/>
      <c r="J93" s="21"/>
    </row>
    <row r="94">
      <c r="G94" s="21"/>
      <c r="H94" s="21"/>
      <c r="I94" s="21"/>
      <c r="J94" s="21"/>
    </row>
    <row r="95">
      <c r="G95" s="21"/>
      <c r="H95" s="21"/>
      <c r="I95" s="21"/>
      <c r="J95" s="21"/>
    </row>
    <row r="96">
      <c r="G96" s="21"/>
      <c r="H96" s="21"/>
      <c r="I96" s="21"/>
      <c r="J96" s="21"/>
    </row>
    <row r="97">
      <c r="G97" s="21"/>
      <c r="H97" s="21"/>
      <c r="I97" s="21"/>
      <c r="J97" s="21"/>
    </row>
    <row r="98">
      <c r="G98" s="21"/>
      <c r="H98" s="21"/>
      <c r="I98" s="21"/>
      <c r="J98" s="21"/>
    </row>
    <row r="99">
      <c r="G99" s="21"/>
      <c r="H99" s="21"/>
      <c r="I99" s="21"/>
      <c r="J99" s="21"/>
    </row>
    <row r="100">
      <c r="G100" s="21"/>
      <c r="H100" s="21"/>
      <c r="I100" s="21"/>
      <c r="J100" s="21"/>
    </row>
    <row r="101">
      <c r="G101" s="21"/>
      <c r="H101" s="21"/>
      <c r="I101" s="21"/>
      <c r="J101" s="21"/>
    </row>
    <row r="102">
      <c r="G102" s="21"/>
      <c r="H102" s="21"/>
      <c r="I102" s="21"/>
      <c r="J102" s="21"/>
    </row>
    <row r="103">
      <c r="G103" s="21"/>
      <c r="H103" s="21"/>
      <c r="I103" s="21"/>
      <c r="J103" s="21"/>
    </row>
    <row r="104">
      <c r="G104" s="21"/>
      <c r="H104" s="21"/>
      <c r="I104" s="21"/>
      <c r="J104" s="21"/>
    </row>
    <row r="105">
      <c r="G105" s="21"/>
      <c r="H105" s="21"/>
      <c r="I105" s="21"/>
      <c r="J105" s="21"/>
    </row>
    <row r="106">
      <c r="G106" s="21"/>
      <c r="H106" s="21"/>
      <c r="I106" s="21"/>
      <c r="J106" s="21"/>
    </row>
    <row r="107">
      <c r="G107" s="21"/>
      <c r="H107" s="21"/>
      <c r="I107" s="21"/>
      <c r="J107" s="21"/>
    </row>
    <row r="108">
      <c r="G108" s="21"/>
      <c r="H108" s="21"/>
      <c r="I108" s="21"/>
      <c r="J108" s="21"/>
    </row>
    <row r="109">
      <c r="G109" s="21"/>
      <c r="H109" s="21"/>
      <c r="I109" s="21"/>
      <c r="J109" s="21"/>
    </row>
    <row r="110">
      <c r="G110" s="21"/>
      <c r="H110" s="21"/>
      <c r="I110" s="21"/>
      <c r="J110" s="21"/>
    </row>
    <row r="111">
      <c r="G111" s="21"/>
      <c r="H111" s="21"/>
      <c r="I111" s="21"/>
      <c r="J111" s="21"/>
    </row>
    <row r="112">
      <c r="G112" s="21"/>
      <c r="H112" s="21"/>
      <c r="I112" s="21"/>
      <c r="J112" s="21"/>
    </row>
    <row r="113">
      <c r="G113" s="21"/>
      <c r="H113" s="21"/>
      <c r="I113" s="21"/>
      <c r="J113" s="21"/>
    </row>
    <row r="114">
      <c r="G114" s="21"/>
      <c r="H114" s="21"/>
      <c r="I114" s="21"/>
      <c r="J114" s="21"/>
    </row>
    <row r="115">
      <c r="G115" s="21"/>
      <c r="H115" s="21"/>
      <c r="I115" s="21"/>
      <c r="J115" s="21"/>
    </row>
    <row r="116">
      <c r="G116" s="21"/>
      <c r="H116" s="21"/>
      <c r="I116" s="21"/>
      <c r="J116" s="21"/>
    </row>
    <row r="117">
      <c r="G117" s="21"/>
      <c r="H117" s="21"/>
      <c r="I117" s="21"/>
      <c r="J117" s="21"/>
    </row>
    <row r="118">
      <c r="G118" s="21"/>
      <c r="H118" s="21"/>
      <c r="I118" s="21"/>
      <c r="J118" s="21"/>
    </row>
    <row r="119">
      <c r="G119" s="21"/>
      <c r="H119" s="21"/>
      <c r="I119" s="21"/>
      <c r="J119" s="21"/>
    </row>
    <row r="120">
      <c r="G120" s="21"/>
      <c r="H120" s="21"/>
      <c r="I120" s="21"/>
      <c r="J120" s="21"/>
    </row>
    <row r="121">
      <c r="G121" s="21"/>
      <c r="H121" s="21"/>
      <c r="I121" s="21"/>
      <c r="J121" s="21"/>
    </row>
    <row r="122">
      <c r="G122" s="21"/>
      <c r="H122" s="21"/>
      <c r="I122" s="21"/>
      <c r="J122" s="21"/>
    </row>
    <row r="123">
      <c r="G123" s="21"/>
      <c r="H123" s="21"/>
      <c r="I123" s="21"/>
      <c r="J123" s="21"/>
    </row>
    <row r="124">
      <c r="G124" s="21"/>
      <c r="H124" s="21"/>
      <c r="I124" s="21"/>
      <c r="J124" s="21"/>
    </row>
    <row r="125">
      <c r="G125" s="21"/>
      <c r="H125" s="21"/>
      <c r="I125" s="21"/>
      <c r="J125" s="21"/>
    </row>
    <row r="126">
      <c r="G126" s="21"/>
      <c r="H126" s="21"/>
      <c r="I126" s="21"/>
      <c r="J126" s="21"/>
    </row>
    <row r="127">
      <c r="G127" s="21"/>
      <c r="H127" s="21"/>
      <c r="I127" s="21"/>
      <c r="J127" s="21"/>
    </row>
    <row r="128">
      <c r="G128" s="21"/>
      <c r="H128" s="21"/>
      <c r="I128" s="21"/>
      <c r="J128" s="21"/>
    </row>
    <row r="129">
      <c r="G129" s="21"/>
      <c r="H129" s="21"/>
      <c r="I129" s="21"/>
      <c r="J129" s="21"/>
    </row>
    <row r="130">
      <c r="G130" s="21"/>
      <c r="H130" s="21"/>
      <c r="I130" s="21"/>
      <c r="J130" s="21"/>
    </row>
    <row r="131">
      <c r="G131" s="21"/>
      <c r="H131" s="21"/>
      <c r="I131" s="21"/>
      <c r="J131" s="21"/>
    </row>
    <row r="132">
      <c r="G132" s="21"/>
      <c r="H132" s="21"/>
      <c r="I132" s="21"/>
      <c r="J132" s="21"/>
    </row>
    <row r="133">
      <c r="G133" s="21"/>
      <c r="H133" s="21"/>
      <c r="I133" s="21"/>
      <c r="J133" s="21"/>
    </row>
    <row r="134">
      <c r="G134" s="21"/>
      <c r="H134" s="21"/>
      <c r="I134" s="21"/>
      <c r="J134" s="21"/>
    </row>
    <row r="135">
      <c r="G135" s="21"/>
      <c r="H135" s="21"/>
      <c r="I135" s="21"/>
      <c r="J135" s="21"/>
    </row>
    <row r="136">
      <c r="G136" s="21"/>
      <c r="H136" s="21"/>
      <c r="I136" s="21"/>
      <c r="J136" s="21"/>
    </row>
    <row r="137">
      <c r="G137" s="21"/>
      <c r="H137" s="21"/>
      <c r="I137" s="21"/>
      <c r="J137" s="21"/>
    </row>
    <row r="138">
      <c r="G138" s="21"/>
      <c r="H138" s="21"/>
      <c r="I138" s="21"/>
      <c r="J138" s="21"/>
    </row>
    <row r="139">
      <c r="G139" s="21"/>
      <c r="H139" s="21"/>
      <c r="I139" s="21"/>
      <c r="J139" s="21"/>
    </row>
    <row r="140">
      <c r="G140" s="21"/>
      <c r="H140" s="21"/>
      <c r="I140" s="21"/>
      <c r="J140" s="21"/>
    </row>
    <row r="141">
      <c r="G141" s="21"/>
      <c r="H141" s="21"/>
      <c r="I141" s="21"/>
      <c r="J141" s="21"/>
    </row>
    <row r="142">
      <c r="G142" s="21"/>
      <c r="H142" s="21"/>
      <c r="I142" s="21"/>
      <c r="J142" s="21"/>
    </row>
    <row r="143">
      <c r="G143" s="21"/>
      <c r="H143" s="21"/>
      <c r="I143" s="21"/>
      <c r="J143" s="21"/>
    </row>
    <row r="144">
      <c r="G144" s="21"/>
      <c r="H144" s="21"/>
      <c r="I144" s="21"/>
      <c r="J144" s="21"/>
    </row>
    <row r="145">
      <c r="G145" s="21"/>
      <c r="H145" s="21"/>
      <c r="I145" s="21"/>
      <c r="J145" s="21"/>
    </row>
    <row r="146">
      <c r="G146" s="21"/>
      <c r="H146" s="21"/>
      <c r="I146" s="21"/>
      <c r="J146" s="21"/>
    </row>
    <row r="147">
      <c r="G147" s="21"/>
      <c r="H147" s="21"/>
      <c r="I147" s="21"/>
      <c r="J147" s="21"/>
    </row>
    <row r="148">
      <c r="G148" s="21"/>
      <c r="H148" s="21"/>
      <c r="I148" s="21"/>
      <c r="J148" s="21"/>
    </row>
    <row r="149">
      <c r="G149" s="21"/>
      <c r="H149" s="21"/>
      <c r="I149" s="21"/>
      <c r="J149" s="21"/>
    </row>
    <row r="150">
      <c r="G150" s="21"/>
      <c r="H150" s="21"/>
      <c r="I150" s="21"/>
      <c r="J150" s="21"/>
    </row>
    <row r="151">
      <c r="G151" s="21"/>
      <c r="H151" s="21"/>
      <c r="I151" s="21"/>
      <c r="J151" s="21"/>
    </row>
    <row r="152">
      <c r="G152" s="21"/>
      <c r="H152" s="21"/>
      <c r="I152" s="21"/>
      <c r="J152" s="21"/>
    </row>
    <row r="153">
      <c r="G153" s="21"/>
      <c r="H153" s="21"/>
      <c r="I153" s="21"/>
      <c r="J153" s="21"/>
    </row>
    <row r="154">
      <c r="G154" s="21"/>
      <c r="H154" s="21"/>
      <c r="I154" s="21"/>
      <c r="J154" s="21"/>
    </row>
    <row r="155">
      <c r="G155" s="21"/>
      <c r="H155" s="21"/>
      <c r="I155" s="21"/>
      <c r="J155" s="21"/>
    </row>
    <row r="156">
      <c r="G156" s="21"/>
      <c r="H156" s="21"/>
      <c r="I156" s="21"/>
      <c r="J156" s="21"/>
    </row>
    <row r="157">
      <c r="G157" s="21"/>
      <c r="H157" s="21"/>
      <c r="I157" s="21"/>
      <c r="J157" s="21"/>
    </row>
    <row r="158">
      <c r="G158" s="21"/>
      <c r="H158" s="21"/>
      <c r="I158" s="21"/>
      <c r="J158" s="21"/>
    </row>
    <row r="159">
      <c r="G159" s="21"/>
      <c r="H159" s="21"/>
      <c r="I159" s="21"/>
      <c r="J159" s="21"/>
    </row>
    <row r="160">
      <c r="G160" s="21"/>
      <c r="H160" s="21"/>
      <c r="I160" s="21"/>
      <c r="J160" s="21"/>
    </row>
    <row r="161">
      <c r="G161" s="21"/>
      <c r="H161" s="21"/>
      <c r="I161" s="21"/>
      <c r="J161" s="21"/>
    </row>
    <row r="162">
      <c r="G162" s="21"/>
      <c r="H162" s="21"/>
      <c r="I162" s="21"/>
      <c r="J162" s="21"/>
    </row>
    <row r="163">
      <c r="G163" s="21"/>
      <c r="H163" s="21"/>
      <c r="I163" s="21"/>
      <c r="J163" s="21"/>
    </row>
    <row r="164">
      <c r="G164" s="21"/>
      <c r="H164" s="21"/>
      <c r="I164" s="21"/>
      <c r="J164" s="21"/>
    </row>
    <row r="165">
      <c r="G165" s="21"/>
      <c r="H165" s="21"/>
      <c r="I165" s="21"/>
      <c r="J165" s="21"/>
    </row>
    <row r="166">
      <c r="G166" s="21"/>
      <c r="H166" s="21"/>
      <c r="I166" s="21"/>
      <c r="J166" s="21"/>
    </row>
    <row r="167">
      <c r="G167" s="21"/>
      <c r="H167" s="21"/>
      <c r="I167" s="21"/>
      <c r="J167" s="21"/>
    </row>
    <row r="168">
      <c r="G168" s="21"/>
      <c r="H168" s="21"/>
      <c r="I168" s="21"/>
      <c r="J168" s="21"/>
    </row>
    <row r="169">
      <c r="G169" s="21"/>
      <c r="H169" s="21"/>
      <c r="I169" s="21"/>
      <c r="J169" s="21"/>
    </row>
    <row r="170">
      <c r="G170" s="21"/>
      <c r="H170" s="21"/>
      <c r="I170" s="21"/>
      <c r="J170" s="21"/>
    </row>
    <row r="171">
      <c r="G171" s="21"/>
      <c r="H171" s="21"/>
      <c r="I171" s="21"/>
      <c r="J171" s="21"/>
    </row>
    <row r="172">
      <c r="G172" s="21"/>
      <c r="H172" s="21"/>
      <c r="I172" s="21"/>
      <c r="J172" s="21"/>
    </row>
    <row r="173">
      <c r="G173" s="21"/>
      <c r="H173" s="21"/>
      <c r="I173" s="21"/>
      <c r="J173" s="21"/>
    </row>
    <row r="174">
      <c r="G174" s="21"/>
      <c r="H174" s="21"/>
      <c r="I174" s="21"/>
      <c r="J174" s="21"/>
    </row>
    <row r="175">
      <c r="G175" s="21"/>
      <c r="H175" s="21"/>
      <c r="I175" s="21"/>
      <c r="J175" s="21"/>
    </row>
    <row r="176">
      <c r="G176" s="21"/>
      <c r="H176" s="21"/>
      <c r="I176" s="21"/>
      <c r="J176" s="21"/>
    </row>
    <row r="177">
      <c r="G177" s="21"/>
      <c r="H177" s="21"/>
      <c r="I177" s="21"/>
      <c r="J177" s="21"/>
    </row>
    <row r="178">
      <c r="G178" s="21"/>
      <c r="H178" s="21"/>
      <c r="I178" s="21"/>
      <c r="J178" s="21"/>
    </row>
    <row r="179">
      <c r="G179" s="21"/>
      <c r="H179" s="21"/>
      <c r="I179" s="21"/>
      <c r="J179" s="21"/>
    </row>
    <row r="180">
      <c r="G180" s="21"/>
      <c r="H180" s="21"/>
      <c r="I180" s="21"/>
      <c r="J180" s="21"/>
    </row>
    <row r="181">
      <c r="G181" s="21"/>
      <c r="H181" s="21"/>
      <c r="I181" s="21"/>
      <c r="J181" s="21"/>
    </row>
    <row r="182">
      <c r="G182" s="21"/>
      <c r="H182" s="21"/>
      <c r="I182" s="21"/>
      <c r="J182" s="21"/>
    </row>
    <row r="183">
      <c r="G183" s="21"/>
      <c r="H183" s="21"/>
      <c r="I183" s="21"/>
      <c r="J183" s="21"/>
    </row>
    <row r="184">
      <c r="G184" s="21"/>
      <c r="H184" s="21"/>
      <c r="I184" s="21"/>
      <c r="J184" s="21"/>
    </row>
    <row r="185">
      <c r="G185" s="21"/>
      <c r="H185" s="21"/>
      <c r="I185" s="21"/>
      <c r="J185" s="21"/>
    </row>
    <row r="186">
      <c r="G186" s="21"/>
      <c r="H186" s="21"/>
      <c r="I186" s="21"/>
      <c r="J186" s="21"/>
    </row>
    <row r="187">
      <c r="G187" s="21"/>
      <c r="H187" s="21"/>
      <c r="I187" s="21"/>
      <c r="J187" s="21"/>
    </row>
    <row r="188">
      <c r="G188" s="21"/>
      <c r="H188" s="21"/>
      <c r="I188" s="21"/>
      <c r="J188" s="21"/>
    </row>
    <row r="189">
      <c r="G189" s="21"/>
      <c r="H189" s="21"/>
      <c r="I189" s="21"/>
      <c r="J189" s="21"/>
    </row>
    <row r="190">
      <c r="G190" s="21"/>
      <c r="H190" s="21"/>
      <c r="I190" s="21"/>
      <c r="J190" s="21"/>
    </row>
    <row r="191">
      <c r="G191" s="21"/>
      <c r="H191" s="21"/>
      <c r="I191" s="21"/>
      <c r="J191" s="21"/>
    </row>
    <row r="192">
      <c r="G192" s="21"/>
      <c r="H192" s="21"/>
      <c r="I192" s="21"/>
      <c r="J192" s="21"/>
    </row>
    <row r="193">
      <c r="G193" s="21"/>
      <c r="H193" s="21"/>
      <c r="I193" s="21"/>
      <c r="J193" s="21"/>
    </row>
    <row r="194">
      <c r="G194" s="21"/>
      <c r="H194" s="21"/>
      <c r="I194" s="21"/>
      <c r="J194" s="21"/>
    </row>
    <row r="195">
      <c r="G195" s="21"/>
      <c r="H195" s="21"/>
      <c r="I195" s="21"/>
      <c r="J195" s="21"/>
    </row>
    <row r="196">
      <c r="G196" s="21"/>
      <c r="H196" s="21"/>
      <c r="I196" s="21"/>
      <c r="J196" s="21"/>
    </row>
    <row r="197">
      <c r="G197" s="21"/>
      <c r="H197" s="21"/>
      <c r="I197" s="21"/>
      <c r="J197" s="21"/>
    </row>
    <row r="198">
      <c r="G198" s="21"/>
      <c r="H198" s="21"/>
      <c r="I198" s="21"/>
      <c r="J198" s="21"/>
    </row>
    <row r="199">
      <c r="G199" s="21"/>
      <c r="H199" s="21"/>
      <c r="I199" s="21"/>
      <c r="J199" s="21"/>
    </row>
    <row r="200">
      <c r="G200" s="21"/>
      <c r="H200" s="21"/>
      <c r="I200" s="21"/>
      <c r="J200" s="21"/>
    </row>
  </sheetData>
  <mergeCells>
    <mergeCell ref="A12:A13"/>
    <mergeCell ref="A14:A15"/>
    <mergeCell ref="A1:F1"/>
    <mergeCell ref="A3:A5"/>
    <mergeCell ref="A16:D16"/>
    <mergeCell ref="A6:A8"/>
    <mergeCell ref="A9:A11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27"/>
    <col collapsed="false" customWidth="true" hidden="false" max="2" min="2" style="0" width="50"/>
    <col collapsed="false" customWidth="true" hidden="false" max="3" min="3" style="0" width="38"/>
    <col collapsed="false" customWidth="true" hidden="false" max="4" min="4" style="0" width="8"/>
  </cols>
  <sheetData>
    <row customHeight="true" ht="40" r="1">
      <c r="A1" s="22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customHeight="true" ht="25" r="2">
      <c r="A2" s="23" t="s">
        <v>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customHeight="true" ht="25" r="3">
      <c r="A3" s="24" t="s">
        <v>47</v>
      </c>
      <c r="B3" s="2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customHeight="true" ht="25" r="4">
      <c r="A4" s="24" t="s">
        <v>48</v>
      </c>
      <c r="B4" s="25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customHeight="true" ht="25" r="5">
      <c r="A5" s="24" t="s">
        <v>49</v>
      </c>
      <c r="B5" s="25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customHeight="true" ht="25" r="6">
      <c r="A6" s="24" t="s">
        <v>50</v>
      </c>
      <c r="B6" s="25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customHeight="true" ht="25" r="7">
      <c r="A7" s="24" t="s">
        <v>51</v>
      </c>
      <c r="B7" s="25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customHeight="true" ht="25"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customHeight="true" ht="25" r="9">
      <c r="A9" s="23" t="s">
        <v>52</v>
      </c>
      <c r="B9" s="37"/>
      <c r="C9" s="26" t="s">
        <v>53</v>
      </c>
      <c r="D9" s="27">
        <f>'企业信用评级打分表'!J16</f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customHeight="true" ht="25" r="10">
      <c r="A10" s="24" t="s">
        <v>54</v>
      </c>
      <c r="B10" s="28">
        <f>'企业信用评级打分表'!F16</f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customHeight="true" ht="25" r="11">
      <c r="A11" s="24" t="s">
        <v>55</v>
      </c>
      <c r="B11" s="29">
        <f>IF(B10&gt;=90,"AAA",IF(B10&gt;=80,"AA",IF(B10&gt;=70,"A",IF(B10&gt;=60,"BBB",IF(B10&gt;=50,"BB","B")))))</f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customHeight="true" ht="25" r="12">
      <c r="A12" s="24" t="s">
        <v>56</v>
      </c>
      <c r="B12" s="29">
        <f>IF(B11="AAA","信用优秀，履约能力极强",IF(B11="AA","信用良好，履约能力强",IF(B11="A","信用较好，履约能力较强",IF(B11="BBB","信用一般，履约能力尚可",IF(B11="BB","信用较差，履约能力较弱","信用极差，履约能力极弱")))))</f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customHeight="true" ht="25"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customHeight="true" ht="25" r="14">
      <c r="A14" s="23" t="s">
        <v>57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customHeight="true" ht="25" r="15">
      <c r="A15" s="30" t="s">
        <v>58</v>
      </c>
      <c r="B15" s="30" t="s">
        <v>59</v>
      </c>
      <c r="C15" s="30" t="s">
        <v>60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customHeight="true" ht="25" r="16">
      <c r="A16" s="31" t="s">
        <v>61</v>
      </c>
      <c r="B16" s="24">
        <v>20</v>
      </c>
      <c r="C16" s="32">
        <f>SUM('企业信用评级打分表'!F3:F5)</f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customHeight="true" ht="25" r="17">
      <c r="A17" s="25" t="s">
        <v>62</v>
      </c>
      <c r="B17" s="33">
        <v>30</v>
      </c>
      <c r="C17" s="28">
        <f>SUM('企业信用评级打分表'!F6:F8)</f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customHeight="true" ht="25" r="18">
      <c r="A18" s="31" t="s">
        <v>63</v>
      </c>
      <c r="B18" s="24">
        <v>25</v>
      </c>
      <c r="C18" s="32">
        <f>SUM('企业信用评级打分表'!F9:F11)</f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customHeight="true" ht="25" r="19">
      <c r="A19" s="25" t="s">
        <v>64</v>
      </c>
      <c r="B19" s="33">
        <v>15</v>
      </c>
      <c r="C19" s="28">
        <f>SUM('企业信用评级打分表'!F12:F13)</f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customHeight="true" ht="25" r="20">
      <c r="A20" s="31" t="s">
        <v>65</v>
      </c>
      <c r="B20" s="24">
        <v>10</v>
      </c>
      <c r="C20" s="32">
        <f>SUM('企业信用评级打分表'!F14:F15)</f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customHeight="true" ht="25" r="21">
      <c r="A21" s="34" t="s">
        <v>66</v>
      </c>
      <c r="B21" s="35"/>
      <c r="C21" s="36">
        <f>SUM(C16:C20)</f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</sheetData>
  <mergeCells>
    <mergeCell ref="A1:D1"/>
    <mergeCell ref="A21:B21"/>
    <mergeCell ref="A2:B2"/>
    <mergeCell ref="A14:C14"/>
    <mergeCell ref="A9:B9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{"Label":"1","ContentProducer":"001191110102MACQD9K64010000","ProduceID":"7678616535539174580","ReservedCode1":"","ContentPropagator":"","PropagateID":"","ReservedCode2":""}</vt:lpwstr>
  </property>
</Properties>
</file>